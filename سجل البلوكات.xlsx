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بلوكات" sheetId="1" r:id="rId1"/>
  </sheets>
  <calcPr calcId="124519" fullCalcOnLoad="1"/>
</workbook>
</file>

<file path=xl/sharedStrings.xml><?xml version="1.0" encoding="utf-8"?>
<sst xmlns="http://schemas.openxmlformats.org/spreadsheetml/2006/main" count="66" uniqueCount="56">
  <si>
    <t>سجل البلوكات</t>
  </si>
  <si>
    <t>مقاس البلوك في الأرضية</t>
  </si>
  <si>
    <t>مرحلة النشر</t>
  </si>
  <si>
    <t>المنصرف والمبيعات</t>
  </si>
  <si>
    <t>رقم النقلة</t>
  </si>
  <si>
    <t>عدد النقلات</t>
  </si>
  <si>
    <t>التاريخ</t>
  </si>
  <si>
    <t>المحجر</t>
  </si>
  <si>
    <t>رقم الماكينة</t>
  </si>
  <si>
    <t>رقم البلوك</t>
  </si>
  <si>
    <t>الخامة</t>
  </si>
  <si>
    <t>الطول</t>
  </si>
  <si>
    <t>العرض</t>
  </si>
  <si>
    <t>الارتفاع</t>
  </si>
  <si>
    <t>م3</t>
  </si>
  <si>
    <t>الوزن</t>
  </si>
  <si>
    <t>وزن البلوك</t>
  </si>
  <si>
    <t>سعر الطن</t>
  </si>
  <si>
    <t>إجمالي سعر البلوك</t>
  </si>
  <si>
    <t>سعر النقلة</t>
  </si>
  <si>
    <t>تاريخ النشر</t>
  </si>
  <si>
    <t>النوع</t>
  </si>
  <si>
    <t>وقت الدخول</t>
  </si>
  <si>
    <t>وقت الخروج</t>
  </si>
  <si>
    <t>عدد الساعات</t>
  </si>
  <si>
    <t>الاكراميه</t>
  </si>
  <si>
    <t>السمك</t>
  </si>
  <si>
    <t>العدد</t>
  </si>
  <si>
    <t>الطول بعد</t>
  </si>
  <si>
    <t>الخصم</t>
  </si>
  <si>
    <t>الكميه م2</t>
  </si>
  <si>
    <t>سعر النشر</t>
  </si>
  <si>
    <t>إجمالي سعر النشر</t>
  </si>
  <si>
    <t>إجمالي تكلفه البلوك</t>
  </si>
  <si>
    <t>تاريخ التحميل</t>
  </si>
  <si>
    <t>رقم الفاتوره</t>
  </si>
  <si>
    <t>اسم العميل</t>
  </si>
  <si>
    <t>رقم لبلوك</t>
  </si>
  <si>
    <t>عدد الطاولات</t>
  </si>
  <si>
    <t>ط</t>
  </si>
  <si>
    <t>ع</t>
  </si>
  <si>
    <t>اجمالى م2</t>
  </si>
  <si>
    <t>سعر المتر</t>
  </si>
  <si>
    <t>اجمالى سعر المبيعات</t>
  </si>
  <si>
    <t>رصيد المخزون</t>
  </si>
  <si>
    <t>اجمالى تكلفه النقله</t>
  </si>
  <si>
    <t>اجمالى مبيعات النقله</t>
  </si>
  <si>
    <t>ربح النقله</t>
  </si>
  <si>
    <t>2025-12-16</t>
  </si>
  <si>
    <t>1</t>
  </si>
  <si>
    <t xml:space="preserve"> A12</t>
  </si>
  <si>
    <t>نيوحلايب</t>
  </si>
  <si>
    <t>2.70</t>
  </si>
  <si>
    <t>1150</t>
  </si>
  <si>
    <t>1.0</t>
  </si>
  <si>
    <t>2سم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</si>
</sst>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B3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E4BAFF"/>
        <bgColor indexed="64"/>
      </patternFill>
    </fill>
    <fill>
      <patternFill patternType="solid">
        <fgColor rgb="FFFFC9DE"/>
        <bgColor indexed="64"/>
      </patternFill>
    </fill>
    <fill>
      <patternFill patternType="solid">
        <fgColor rgb="FFC9FFE4"/>
        <bgColor indexed="64"/>
      </patternFill>
    </fill>
    <fill>
      <patternFill patternType="solid">
        <fgColor rgb="FFC9D6FF"/>
        <bgColor indexed="64"/>
      </patternFill>
    </fill>
    <fill>
      <patternFill patternType="solid">
        <fgColor rgb="FFFFE8C9"/>
        <bgColor indexed="64"/>
      </patternFill>
    </fill>
    <fill>
      <patternFill patternType="solid">
        <fgColor rgb="FFD6FFC9"/>
        <bgColor indexed="64"/>
      </patternFill>
    </fill>
    <fill>
      <patternFill patternType="solid">
        <fgColor rgb="FFFFC9F3"/>
        <bgColor indexed="64"/>
      </patternFill>
    </fill>
    <fill>
      <patternFill patternType="solid">
        <fgColor rgb="FFC9FFF3"/>
        <bgColor indexed="64"/>
      </patternFill>
    </fill>
    <fill>
      <patternFill patternType="solid">
        <fgColor rgb="FFF3C9FF"/>
        <bgColor indexed="64"/>
      </patternFill>
    </fill>
    <fill>
      <patternFill patternType="solid">
        <fgColor rgb="FFFFDEC9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B5FFAD"/>
        <bgColor indexed="64"/>
      </patternFill>
    </fill>
    <fill>
      <patternFill patternType="solid">
        <fgColor rgb="FFADD8FF"/>
        <bgColor indexed="64"/>
      </patternFill>
    </fill>
    <fill>
      <patternFill patternType="solid">
        <fgColor rgb="FFFFFFAD"/>
        <bgColor indexed="64"/>
      </patternFill>
    </fill>
    <fill>
      <patternFill patternType="solid">
        <fgColor rgb="FFFFD8AD"/>
        <bgColor indexed="64"/>
      </patternFill>
    </fill>
    <fill>
      <patternFill patternType="solid">
        <fgColor rgb="FFDBADFF"/>
        <bgColor indexed="64"/>
      </patternFill>
    </fill>
    <fill>
      <patternFill patternType="solid">
        <fgColor rgb="FFFFADD8"/>
        <bgColor indexed="64"/>
      </patternFill>
    </fill>
    <fill>
      <patternFill patternType="solid">
        <fgColor rgb="FFADF8D8"/>
        <bgColor indexed="64"/>
      </patternFill>
    </fill>
    <fill>
      <patternFill patternType="solid">
        <fgColor rgb="FFADBFFF"/>
        <bgColor indexed="64"/>
      </patternFill>
    </fill>
    <fill>
      <patternFill patternType="solid">
        <fgColor rgb="FFFFD6AD"/>
        <bgColor indexed="64"/>
      </patternFill>
    </fill>
    <fill>
      <patternFill patternType="solid">
        <fgColor rgb="FFD1FFAD"/>
        <bgColor indexed="64"/>
      </patternFill>
    </fill>
    <fill>
      <patternFill patternType="solid">
        <fgColor rgb="FFFFADE8"/>
        <bgColor indexed="64"/>
      </patternFill>
    </fill>
    <fill>
      <patternFill patternType="solid">
        <fgColor rgb="FFADF8E8"/>
        <bgColor indexed="64"/>
      </patternFill>
    </fill>
    <fill>
      <patternFill patternType="solid">
        <fgColor rgb="FFE8ADFF"/>
        <bgColor indexed="64"/>
      </patternFill>
    </fill>
    <fill>
      <patternFill patternType="solid">
        <fgColor rgb="FFFFD1AD"/>
        <bgColor indexed="64"/>
      </patternFill>
    </fill>
    <fill>
      <patternFill patternType="solid">
        <fgColor rgb="FFADE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"/>
  <sheetViews>
    <sheetView rightToLeft="1" tabSelected="1" workbookViewId="0">
      <pane ySplit="3" topLeftCell="A4" activePane="bottomLeft" state="frozen"/>
      <selection pane="bottomLeft"/>
    </sheetView>
  </sheetViews>
  <sheetFormatPr defaultRowHeight="15"/>
  <cols>
    <col min="1" max="35" width="15.7109375" customWidth="1"/>
    <col min="36" max="36" width="12.7109375" customWidth="1"/>
    <col min="37" max="37" width="15.7109375" customWidth="1"/>
    <col min="38" max="39" width="12.7109375" customWidth="1"/>
    <col min="40" max="41" width="10.7109375" customWidth="1"/>
    <col min="42" max="43" width="15.7109375" customWidth="1"/>
    <col min="44" max="44" width="18.7109375" customWidth="1"/>
    <col min="45" max="45" width="15.7109375" customWidth="1"/>
    <col min="46" max="47" width="18.7109375" customWidth="1"/>
    <col min="48" max="48" width="15.7109375" customWidth="1"/>
  </cols>
  <sheetData>
    <row r="1" spans="1:4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 t="s">
        <v>2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4" t="s">
        <v>3</v>
      </c>
      <c r="AJ2" s="4"/>
      <c r="AK2" s="4">
        <f>SUM(AK3:AK1000)</f>
        <v>0</v>
      </c>
      <c r="AL2" s="4"/>
      <c r="AM2" s="4">
        <f>SUM(AM3:AM1000)</f>
        <v>0</v>
      </c>
      <c r="AN2" s="4"/>
      <c r="AO2" s="4"/>
      <c r="AP2" s="4"/>
      <c r="AQ2" s="4"/>
      <c r="AR2" s="4"/>
      <c r="AS2" s="4"/>
      <c r="AT2" s="4"/>
      <c r="AU2" s="4"/>
      <c r="AV2" s="4"/>
    </row>
    <row r="3" spans="1:48" ht="25" customHeight="1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6" t="s">
        <v>20</v>
      </c>
      <c r="R3" s="6" t="s">
        <v>9</v>
      </c>
      <c r="S3" s="6" t="s">
        <v>21</v>
      </c>
      <c r="T3" s="6" t="s">
        <v>8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11</v>
      </c>
      <c r="AB3" s="6" t="s">
        <v>28</v>
      </c>
      <c r="AC3" s="6" t="s">
        <v>29</v>
      </c>
      <c r="AD3" s="6" t="s">
        <v>13</v>
      </c>
      <c r="AE3" s="6" t="s">
        <v>30</v>
      </c>
      <c r="AF3" s="6" t="s">
        <v>31</v>
      </c>
      <c r="AG3" s="6" t="s">
        <v>32</v>
      </c>
      <c r="AH3" s="6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</row>
    <row r="4" spans="1:48">
      <c r="A4" s="8"/>
      <c r="B4" s="9"/>
      <c r="C4" s="10" t="s">
        <v>48</v>
      </c>
      <c r="D4" s="11"/>
      <c r="E4" s="12" t="s">
        <v>49</v>
      </c>
      <c r="F4" s="13" t="s">
        <v>50</v>
      </c>
      <c r="G4" s="14" t="s">
        <v>51</v>
      </c>
      <c r="H4" s="15">
        <f>P4+0.20</f>
        <v>0</v>
      </c>
      <c r="I4" s="16">
        <f>((VALUE(SUBSTITUTE(Z4,"سم",""))+1)*Z4)</f>
        <v>0</v>
      </c>
      <c r="J4" s="17">
        <f>AD4+0.5</f>
        <v>0</v>
      </c>
      <c r="K4" s="18">
        <f>H4*I4*J4</f>
        <v>0</v>
      </c>
      <c r="L4" s="19" t="s">
        <v>52</v>
      </c>
      <c r="M4" s="20">
        <f>K4*L4</f>
        <v>0</v>
      </c>
      <c r="N4" s="21" t="s">
        <v>53</v>
      </c>
      <c r="O4" s="22">
        <f>N4*M4</f>
        <v>0</v>
      </c>
      <c r="P4" s="23" t="s">
        <v>54</v>
      </c>
      <c r="Q4" s="24" t="s">
        <v>48</v>
      </c>
      <c r="R4" s="25" t="s">
        <v>50</v>
      </c>
      <c r="S4" s="26" t="s">
        <v>51</v>
      </c>
      <c r="T4" s="27" t="s">
        <v>49</v>
      </c>
      <c r="U4" s="28"/>
      <c r="V4" s="29"/>
      <c r="W4" s="30"/>
      <c r="X4" s="31">
        <v>150</v>
      </c>
      <c r="Y4" s="32" t="s">
        <v>55</v>
      </c>
      <c r="Z4" s="33" t="s">
        <v>49</v>
      </c>
      <c r="AA4" s="34" t="s">
        <v>54</v>
      </c>
      <c r="AB4" s="35">
        <v>0.2</v>
      </c>
      <c r="AC4" s="36">
        <f>H4-AB4</f>
        <v>0</v>
      </c>
      <c r="AD4" s="37">
        <v>1</v>
      </c>
      <c r="AE4" s="38">
        <f>AC4*AD4*Z4</f>
        <v>0</v>
      </c>
      <c r="AF4" s="39">
        <v>125</v>
      </c>
      <c r="AG4" s="24">
        <f>AF4*AE4</f>
        <v>0</v>
      </c>
      <c r="AH4" s="25">
        <f>AG4+X4</f>
        <v>0</v>
      </c>
    </row>
  </sheetData>
  <mergeCells count="4">
    <mergeCell ref="A1:AV1"/>
    <mergeCell ref="A2:P2"/>
    <mergeCell ref="Q2:AH2"/>
    <mergeCell ref="AI2:A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البلوكات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2025-12-16T11:40:04Z</dcterms:created>
  <dcterms:modified xsi:type="dcterms:W3CDTF">2025-12-16T11:40:04Z</dcterms:modified>
</cp:coreProperties>
</file>